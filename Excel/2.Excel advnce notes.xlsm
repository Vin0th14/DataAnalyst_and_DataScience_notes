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626" codeName="{62F9E958-00F4-224C-1CEB-3A4BEE276A53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E:\DS_NEW\Excel\"/>
    </mc:Choice>
  </mc:AlternateContent>
  <xr:revisionPtr revIDLastSave="0" documentId="13_ncr:1_{AF3D9E1F-8592-4FB4-B732-82FEF27A1877}" xr6:coauthVersionLast="47" xr6:coauthVersionMax="47" xr10:uidLastSave="{00000000-0000-0000-0000-000000000000}"/>
  <bookViews>
    <workbookView xWindow="-108" yWindow="-108" windowWidth="23256" windowHeight="12456" xr2:uid="{FD513388-9236-4031-9F5C-486BC2DF00AD}"/>
  </bookViews>
  <sheets>
    <sheet name="Content" sheetId="1" r:id="rId1"/>
    <sheet name="Macro test" sheetId="2" r:id="rId2"/>
  </sheets>
  <definedNames>
    <definedName name="_xlnm._FilterDatabase" localSheetId="0" hidden="1">Content!$I$18:$L$21</definedName>
    <definedName name="_xlnm._FilterDatabase" localSheetId="1" hidden="1">'Macro test'!$I$18:$L$21</definedName>
    <definedName name="gok">Content!$J$170:$L$170</definedName>
    <definedName name="language">Content!$L$169:$L$170</definedName>
    <definedName name="maths">Content!$J$169:$J$170</definedName>
    <definedName name="Name">Content!$J$169:$L$170</definedName>
    <definedName name="science">Content!$K$169:$K$170</definedName>
    <definedName name="vk">Content!$J$169:$L$169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M2" i="1" l="1"/>
  <c r="K21" i="2"/>
  <c r="L20" i="2"/>
  <c r="J21" i="2"/>
  <c r="J21" i="1"/>
  <c r="K21" i="1"/>
  <c r="L20" i="1"/>
  <c r="H14" i="1"/>
  <c r="J14" i="1" s="1"/>
  <c r="H13" i="1"/>
  <c r="J13" i="1" s="1"/>
  <c r="I15" i="1"/>
  <c r="J181" i="1"/>
  <c r="L19" i="2" l="1"/>
  <c r="L21" i="2" s="1"/>
  <c r="L19" i="1"/>
  <c r="L21" i="1" s="1"/>
  <c r="J15" i="1"/>
  <c r="H15" i="1"/>
</calcChain>
</file>

<file path=xl/sharedStrings.xml><?xml version="1.0" encoding="utf-8"?>
<sst xmlns="http://schemas.openxmlformats.org/spreadsheetml/2006/main" count="229" uniqueCount="200">
  <si>
    <t>Data Table</t>
  </si>
  <si>
    <t>Data-&gt; whatif analysis-&gt;Data table</t>
  </si>
  <si>
    <t>Loan amt</t>
  </si>
  <si>
    <t>Interest</t>
  </si>
  <si>
    <t>Tenure</t>
  </si>
  <si>
    <t>% Rate</t>
  </si>
  <si>
    <t>We can calculate  EMI amout for each interest</t>
  </si>
  <si>
    <t>Scenario manager</t>
  </si>
  <si>
    <t>Data-&gt; whatif analysis-&gt;Scenario manager</t>
  </si>
  <si>
    <t>Name</t>
  </si>
  <si>
    <t>vk</t>
  </si>
  <si>
    <t>gok</t>
  </si>
  <si>
    <t>Maths</t>
  </si>
  <si>
    <t>science</t>
  </si>
  <si>
    <t>Total</t>
  </si>
  <si>
    <t>Preditced marks</t>
  </si>
  <si>
    <t xml:space="preserve">We can set no of scenarios and see how data </t>
  </si>
  <si>
    <t>changes based on that.</t>
  </si>
  <si>
    <t>Macro Automization</t>
  </si>
  <si>
    <t>Used for automation</t>
  </si>
  <si>
    <t>To activate it right click on any ribbon(home,insrt)</t>
  </si>
  <si>
    <t>select developer option and click ok</t>
  </si>
  <si>
    <t>in developer ribbon we have Macros</t>
  </si>
  <si>
    <t xml:space="preserve">Record macro-&gt;perform formatting </t>
  </si>
  <si>
    <t>Mat</t>
  </si>
  <si>
    <t>Sci</t>
  </si>
  <si>
    <t>Editing Macro</t>
  </si>
  <si>
    <t>Recording macro</t>
  </si>
  <si>
    <t>Develp-&gt;visual basic-&gt;Modules</t>
  </si>
  <si>
    <t>Running macro</t>
  </si>
  <si>
    <t>Develpoer-&gt;Insert-&gt;button  drag the position</t>
  </si>
  <si>
    <t xml:space="preserve">when you click that button it automatically </t>
  </si>
  <si>
    <t>run that recorded formatting</t>
  </si>
  <si>
    <t>We can also assign macro to custom shapes</t>
  </si>
  <si>
    <t>right clickk on shape and assign macro</t>
  </si>
  <si>
    <t>we can also use shortcut wch you set</t>
  </si>
  <si>
    <t xml:space="preserve">We have to save the file as Excel macro enbled </t>
  </si>
  <si>
    <t>workbook</t>
  </si>
  <si>
    <t>Macro test</t>
  </si>
  <si>
    <t>Visual Basic Application (VBA)</t>
  </si>
  <si>
    <t>Objects</t>
  </si>
  <si>
    <t>workbook,worksheet,pivot table,range of cells,charts,etcc</t>
  </si>
  <si>
    <t>Basic coding using VBA</t>
  </si>
  <si>
    <t>to get name of worksheet</t>
  </si>
  <si>
    <t>?ActiveWorkbook.ActiveSheet.Name</t>
  </si>
  <si>
    <t>it will give name of worksheet</t>
  </si>
  <si>
    <t>Test using VBA</t>
  </si>
  <si>
    <t>ActiveSheet.Range("C47").Value="Test using VBA"</t>
  </si>
  <si>
    <t xml:space="preserve">We have to write code in module </t>
  </si>
  <si>
    <t>to create a module in vb-&gt;insert -&gt;module</t>
  </si>
  <si>
    <t>Inserting Procedure</t>
  </si>
  <si>
    <t>vb-&gt;insert procedure</t>
  </si>
  <si>
    <t>type</t>
  </si>
  <si>
    <t>sub</t>
  </si>
  <si>
    <t>runs the code</t>
  </si>
  <si>
    <t>funtions</t>
  </si>
  <si>
    <t>return the vaue or output</t>
  </si>
  <si>
    <t xml:space="preserve">Scope </t>
  </si>
  <si>
    <t>if it is private we cant use in other modules</t>
  </si>
  <si>
    <t>Message box</t>
  </si>
  <si>
    <t>MsgBox ("Hello")</t>
  </si>
  <si>
    <t>meggae box will popup with hello msg</t>
  </si>
  <si>
    <t>Variables</t>
  </si>
  <si>
    <t>dim name as String</t>
  </si>
  <si>
    <t>name="Vinoth"</t>
  </si>
  <si>
    <t>Msgbox</t>
  </si>
  <si>
    <t>MsgBox(name&amp;" How are you")</t>
  </si>
  <si>
    <t>MsgBox("Hello "&amp;name&amp;" How are you")</t>
  </si>
  <si>
    <t>&amp; - used to concatenate</t>
  </si>
  <si>
    <t>Conditional statements</t>
  </si>
  <si>
    <t>If Else</t>
  </si>
  <si>
    <t>If condition</t>
  </si>
  <si>
    <t xml:space="preserve">     code</t>
  </si>
  <si>
    <t>End If</t>
  </si>
  <si>
    <t>Else</t>
  </si>
  <si>
    <t xml:space="preserve">    code</t>
  </si>
  <si>
    <t>Age</t>
  </si>
  <si>
    <t>Vinoth</t>
  </si>
  <si>
    <t>Gokul</t>
  </si>
  <si>
    <t>Saran</t>
  </si>
  <si>
    <t>Public Sub conditional()
If ActiveCell.Value &gt;= 18 Then
MsgBox ("Eligible")
ElseIf ActiveCell.Value &lt;= 18 Then
MsgBox ("Not Eligible")
Else
MsgBox ("nothing")
End If
End Sub</t>
  </si>
  <si>
    <t>Select case</t>
  </si>
  <si>
    <t>Select Case ActiveCell.Value</t>
  </si>
  <si>
    <t xml:space="preserve">     Case Is &gt;40</t>
  </si>
  <si>
    <t xml:space="preserve">          code</t>
  </si>
  <si>
    <t xml:space="preserve">     Case Is =50</t>
  </si>
  <si>
    <t>End Select</t>
  </si>
  <si>
    <t>Case else also we can use</t>
  </si>
  <si>
    <t>While Loop</t>
  </si>
  <si>
    <t>Public Sub Loops()</t>
  </si>
  <si>
    <t xml:space="preserve">    Dim i As Integer</t>
  </si>
  <si>
    <t xml:space="preserve">        conditional</t>
  </si>
  <si>
    <t xml:space="preserve">        </t>
  </si>
  <si>
    <t xml:space="preserve">        ActiveCell.Offset(1, 0).Select</t>
  </si>
  <si>
    <t xml:space="preserve">    Loop</t>
  </si>
  <si>
    <t>End Sub</t>
  </si>
  <si>
    <t>condtional is an function of if statemant we called now</t>
  </si>
  <si>
    <t xml:space="preserve">    </t>
  </si>
  <si>
    <t xml:space="preserve">    Do While ActiveCell.Value &lt;&gt; ""</t>
  </si>
  <si>
    <t>it will run untill it finds empty</t>
  </si>
  <si>
    <t>For Loop</t>
  </si>
  <si>
    <t xml:space="preserve">    Next i</t>
  </si>
  <si>
    <t>Range</t>
  </si>
  <si>
    <t>ActiveSheet.UsedRange.Rows.Count-1</t>
  </si>
  <si>
    <t>Index function</t>
  </si>
  <si>
    <t>It is used to perform action on range values which are named</t>
  </si>
  <si>
    <t>maths</t>
  </si>
  <si>
    <t>language</t>
  </si>
  <si>
    <t>Subjec</t>
  </si>
  <si>
    <t xml:space="preserve">Science is range of sci marks </t>
  </si>
  <si>
    <t xml:space="preserve">we can select range for multiple columnn using </t>
  </si>
  <si>
    <t>formula-&gt;create from selection</t>
  </si>
  <si>
    <t>We can use Relative cell refrencing befor recoding macro</t>
  </si>
  <si>
    <t xml:space="preserve">so that macro can used wherever you need </t>
  </si>
  <si>
    <t>Input box</t>
  </si>
  <si>
    <t>var=InputBox("Enter a number :")</t>
  </si>
  <si>
    <t>selection</t>
  </si>
  <si>
    <t xml:space="preserve">Create from </t>
  </si>
  <si>
    <t xml:space="preserve">enter a value in </t>
  </si>
  <si>
    <t>particular cell</t>
  </si>
  <si>
    <t>[G56].Value="Vk"</t>
  </si>
  <si>
    <t>[G55:G60] - to select range</t>
  </si>
  <si>
    <t>Cells(r,c)=" "</t>
  </si>
  <si>
    <t>To format the text</t>
  </si>
  <si>
    <t>ActiveCell.Font.Size=24</t>
  </si>
  <si>
    <t>ActiveCell.Font.Name="Arial"</t>
  </si>
  <si>
    <t>Bold</t>
  </si>
  <si>
    <t>Italic</t>
  </si>
  <si>
    <t>After font.</t>
  </si>
  <si>
    <t xml:space="preserve"> With ActiveCell.Font</t>
  </si>
  <si>
    <t xml:space="preserve">           .Bold ="True"</t>
  </si>
  <si>
    <t xml:space="preserve">           .Italic="True"</t>
  </si>
  <si>
    <t>End With</t>
  </si>
  <si>
    <t>Another</t>
  </si>
  <si>
    <t>method</t>
  </si>
  <si>
    <t>Working with VBA</t>
  </si>
  <si>
    <t>Borders</t>
  </si>
  <si>
    <t xml:space="preserve">? -inbulit functions </t>
  </si>
  <si>
    <t>Allignment</t>
  </si>
  <si>
    <t>Range("a1:a9").Borders.?</t>
  </si>
  <si>
    <t>Range("a1:a9").VerticalAlignment</t>
  </si>
  <si>
    <t>Font color</t>
  </si>
  <si>
    <t>Range("a1:a9").Font.Color=?</t>
  </si>
  <si>
    <t>Cell color</t>
  </si>
  <si>
    <t>Range("a1:a9").Interior.Color=?</t>
  </si>
  <si>
    <t>Range("a1:a9").HorizondalAlignment=xlleft/right/center</t>
  </si>
  <si>
    <t xml:space="preserve">Copy </t>
  </si>
  <si>
    <t>Range("a1:a9").copy</t>
  </si>
  <si>
    <t>Range("a1:a9").PasteSpecial ?</t>
  </si>
  <si>
    <t>Application.CutCopyMode=False</t>
  </si>
  <si>
    <t>Paste spcial</t>
  </si>
  <si>
    <t>It is used to paste the formatting only or values separetly</t>
  </si>
  <si>
    <t>Merge</t>
  </si>
  <si>
    <t>Range("a1:a9").merge</t>
  </si>
  <si>
    <t>Delete</t>
  </si>
  <si>
    <t>Range("a1:a9").Delete</t>
  </si>
  <si>
    <t>Range("a1").EntireRow.Delete</t>
  </si>
  <si>
    <t>Range("a1").Delete</t>
  </si>
  <si>
    <t>Insert</t>
  </si>
  <si>
    <t>Range("a1:a9").Insert</t>
  </si>
  <si>
    <t>Range("a1").EntireRow.Insert</t>
  </si>
  <si>
    <t>Autofit</t>
  </si>
  <si>
    <t>Range("a1").Columns.AutoFit</t>
  </si>
  <si>
    <t>Range("a1:a9").Row.AutoFit</t>
  </si>
  <si>
    <t xml:space="preserve">Hide </t>
  </si>
  <si>
    <t>Range("a:a").Columns.Hidden=True</t>
  </si>
  <si>
    <t>Range("b:b").Columns.Hidden=False</t>
  </si>
  <si>
    <t>To hide multiple rows</t>
  </si>
  <si>
    <t>Rangr("1:5").Rows.Hidden=True</t>
  </si>
  <si>
    <t>Adding sheets</t>
  </si>
  <si>
    <t>Sheets.Add</t>
  </si>
  <si>
    <t>Worksheets.Add.Name=" "</t>
  </si>
  <si>
    <t>Renaming</t>
  </si>
  <si>
    <t>Sheets("Oldname").Name="new name"</t>
  </si>
  <si>
    <t>Hiding sheet</t>
  </si>
  <si>
    <t>Sheets("Sheetname").Visible=False</t>
  </si>
  <si>
    <t>Protect sheet</t>
  </si>
  <si>
    <t>Activate sheet</t>
  </si>
  <si>
    <t>Sheets("Sheetname").Protect Password:=567</t>
  </si>
  <si>
    <t>Sheets("Sheetname").Activate</t>
  </si>
  <si>
    <t>Adding workbook</t>
  </si>
  <si>
    <t>Workbooks.Add</t>
  </si>
  <si>
    <t>dim ws as Worksheet</t>
  </si>
  <si>
    <t>set ws=ThisWorkbook.Worksheets("sheetname")</t>
  </si>
  <si>
    <t>To declare ws as variable</t>
  </si>
  <si>
    <t xml:space="preserve">It will return no of rows which are occupied </t>
  </si>
  <si>
    <t xml:space="preserve">    For i = 1 To 3                                   for i=1 To 5 Step 2 </t>
  </si>
  <si>
    <t xml:space="preserve">                                                                      Skip and move to nxt val</t>
  </si>
  <si>
    <t xml:space="preserve">    Case 40 To 50</t>
  </si>
  <si>
    <t xml:space="preserve">         code</t>
  </si>
  <si>
    <t>It helps you to move from one cell to another</t>
  </si>
  <si>
    <t xml:space="preserve">        ActiveCell.Offset(1, 0).Select              ---&gt;</t>
  </si>
  <si>
    <t>Text functions</t>
  </si>
  <si>
    <t xml:space="preserve">To separate </t>
  </si>
  <si>
    <t>value from txt</t>
  </si>
  <si>
    <t>cells(1,2).Value=Left(Cells(1,2).Value , 2)</t>
  </si>
  <si>
    <t>Left(address,no of char to be separated)</t>
  </si>
  <si>
    <t>cells(1,2).Value=Right(Cells(1,2).Value , 2)</t>
  </si>
  <si>
    <t>cells(1,2).Value=Ucase((1,2).Value )</t>
  </si>
  <si>
    <t>cells(1,2).Value=Ucase(StrReverse(Cells(1,2).Value ))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</si>
</sst>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5" x14ac:knownFonts="1"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00B0F0"/>
      <name val="Calibri"/>
      <family val="2"/>
      <scheme val="minor"/>
    </font>
    <font>
      <sz val="11"/>
      <name val="Calibri"/>
      <family val="2"/>
      <scheme val="minor"/>
    </font>
    <font>
      <sz val="11"/>
      <color rgb="FF000000"/>
      <name val="Calibri"/>
      <family val="2"/>
    </font>
  </fonts>
  <fills count="12">
    <fill>
      <patternFill patternType="none"/>
    </fill>
    <fill>
      <patternFill patternType="gray125"/>
    </fill>
    <fill>
      <patternFill patternType="solid">
        <fgColor rgb="FF00B0F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5" tint="0.59999389629810485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23">
    <xf numFmtId="0" fontId="0" fillId="0" borderId="0" xfId="0"/>
    <xf numFmtId="0" fontId="0" fillId="2" borderId="0" xfId="0" applyFill="1"/>
    <xf numFmtId="9" fontId="0" fillId="0" borderId="0" xfId="0" applyNumberFormat="1"/>
    <xf numFmtId="10" fontId="0" fillId="0" borderId="0" xfId="0" applyNumberFormat="1"/>
    <xf numFmtId="0" fontId="0" fillId="3" borderId="0" xfId="0" applyFill="1"/>
    <xf numFmtId="0" fontId="0" fillId="4" borderId="0" xfId="0" applyFill="1"/>
    <xf numFmtId="0" fontId="1" fillId="5" borderId="0" xfId="0" applyFont="1" applyFill="1"/>
    <xf numFmtId="0" fontId="1" fillId="0" borderId="0" xfId="0" applyFont="1"/>
    <xf numFmtId="0" fontId="0" fillId="6" borderId="0" xfId="0" applyFill="1"/>
    <xf numFmtId="0" fontId="0" fillId="4" borderId="0" xfId="0" applyFill="1" applyAlignment="1">
      <alignment horizontal="center" vertical="center"/>
    </xf>
    <xf numFmtId="0" fontId="2" fillId="0" borderId="0" xfId="0" applyFont="1"/>
    <xf numFmtId="0" fontId="0" fillId="7" borderId="0" xfId="0" applyFill="1"/>
    <xf numFmtId="0" fontId="0" fillId="8" borderId="0" xfId="0" applyFill="1"/>
    <xf numFmtId="0" fontId="2" fillId="9" borderId="0" xfId="0" applyFont="1" applyFill="1" applyAlignment="1">
      <alignment wrapText="1"/>
    </xf>
    <xf numFmtId="0" fontId="2" fillId="9" borderId="0" xfId="0" applyFont="1" applyFill="1"/>
    <xf numFmtId="0" fontId="3" fillId="0" borderId="0" xfId="0" applyFont="1"/>
    <xf numFmtId="0" fontId="0" fillId="10" borderId="0" xfId="0" applyFill="1"/>
    <xf numFmtId="0" fontId="0" fillId="3" borderId="0" xfId="0" applyFill="1" applyAlignment="1">
      <alignment horizontal="center" vertical="center"/>
    </xf>
    <xf numFmtId="0" fontId="0" fillId="11" borderId="0" xfId="0" applyFill="1" applyAlignment="1">
      <alignment horizontal="center"/>
    </xf>
    <xf numFmtId="0" fontId="0" fillId="0" borderId="0" xfId="0" applyAlignment="1">
      <alignment horizontal="center"/>
    </xf>
    <xf numFmtId="0" fontId="0" fillId="0" borderId="0" xfId="0" applyFill="1"/>
    <xf numFmtId="2" fontId="0" fillId="3" borderId="0" xfId="0" applyNumberFormat="1" applyFill="1"/>
    <xf numFmtId="2" fontId="0" fillId="0" borderId="0" xfId="0" applyNumberForma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15240</xdr:colOff>
          <xdr:row>8</xdr:row>
          <xdr:rowOff>53340</xdr:rowOff>
        </xdr:from>
        <xdr:to>
          <xdr:col>14</xdr:col>
          <xdr:colOff>579120</xdr:colOff>
          <xdr:row>10</xdr:row>
          <xdr:rowOff>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1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IN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Format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113799F-DA5D-470A-BCB4-4C2CF4D8B7E6}">
  <sheetPr codeName="Sheet1"/>
  <dimension ref="A2:M184"/>
  <sheetViews>
    <sheetView tabSelected="1" topLeftCell="F1" zoomScale="102" zoomScaleNormal="102" workbookViewId="0">
      <selection activeCell="P5" sqref="P5"/>
    </sheetView>
  </sheetViews>
  <sheetFormatPr defaultRowHeight="14.4" x14ac:dyDescent="0.3"/>
  <cols>
    <col min="1" max="1" width="29.5546875" customWidth="1"/>
    <col min="2" max="2" width="23" bestFit="1" customWidth="1"/>
    <col min="3" max="3" width="13.88671875" bestFit="1" customWidth="1"/>
    <col min="5" max="5" width="53" bestFit="1" customWidth="1"/>
    <col min="9" max="9" width="16.33203125" customWidth="1"/>
    <col min="10" max="10" width="10.21875" customWidth="1"/>
    <col min="11" max="11" width="10.44140625" customWidth="1"/>
    <col min="12" max="12" width="11.109375" bestFit="1" customWidth="1"/>
    <col min="13" max="13" width="10.44140625" bestFit="1" customWidth="1"/>
  </cols>
  <sheetData>
    <row r="2" spans="1:13" x14ac:dyDescent="0.3">
      <c r="L2" s="4" t="s">
        <v>5</v>
      </c>
      <c r="M2" s="21">
        <f>-PMT(J6/12,J7,J5)</f>
        <v>20276.394288413681</v>
      </c>
    </row>
    <row r="3" spans="1:13" x14ac:dyDescent="0.3">
      <c r="L3" s="3">
        <v>7.2499999999999995E-2</v>
      </c>
      <c r="M3" s="22">
        <f t="dataTable" ref="M3:M9" dt2D="0" dtr="0" r1="J6"/>
        <v>19919.361352682736</v>
      </c>
    </row>
    <row r="4" spans="1:13" x14ac:dyDescent="0.3">
      <c r="L4" s="3">
        <v>7.4999999999999997E-2</v>
      </c>
      <c r="M4" s="22">
        <v>20037.948595623762</v>
      </c>
    </row>
    <row r="5" spans="1:13" x14ac:dyDescent="0.3">
      <c r="A5" s="1" t="s">
        <v>0</v>
      </c>
      <c r="E5" t="s">
        <v>1</v>
      </c>
      <c r="I5" s="4" t="s">
        <v>2</v>
      </c>
      <c r="J5">
        <v>1000000</v>
      </c>
      <c r="L5" s="3">
        <v>7.7499999999999999E-2</v>
      </c>
      <c r="M5" s="22">
        <v>20156.959750999031</v>
      </c>
    </row>
    <row r="6" spans="1:13" x14ac:dyDescent="0.3">
      <c r="E6" t="s">
        <v>6</v>
      </c>
      <c r="I6" s="4" t="s">
        <v>3</v>
      </c>
      <c r="J6" s="2">
        <v>0.08</v>
      </c>
      <c r="L6" s="3">
        <v>8.2500000000000004E-2</v>
      </c>
      <c r="M6" s="22">
        <v>20396.251665314056</v>
      </c>
    </row>
    <row r="7" spans="1:13" x14ac:dyDescent="0.3">
      <c r="I7" s="4" t="s">
        <v>4</v>
      </c>
      <c r="J7">
        <v>60</v>
      </c>
      <c r="L7" s="3">
        <v>8.5000000000000006E-2</v>
      </c>
      <c r="M7" s="22">
        <v>20516.531327051249</v>
      </c>
    </row>
    <row r="8" spans="1:13" x14ac:dyDescent="0.3">
      <c r="L8" s="3">
        <v>8.7499999999999994E-2</v>
      </c>
      <c r="M8" s="22">
        <v>20637.232706945884</v>
      </c>
    </row>
    <row r="9" spans="1:13" x14ac:dyDescent="0.3">
      <c r="L9" s="3">
        <v>0.09</v>
      </c>
      <c r="M9" s="22">
        <v>20758.355226354008</v>
      </c>
    </row>
    <row r="10" spans="1:13" x14ac:dyDescent="0.3">
      <c r="A10" s="1" t="s">
        <v>7</v>
      </c>
      <c r="E10" t="s">
        <v>8</v>
      </c>
    </row>
    <row r="11" spans="1:13" x14ac:dyDescent="0.3">
      <c r="E11" t="s">
        <v>16</v>
      </c>
    </row>
    <row r="12" spans="1:13" x14ac:dyDescent="0.3">
      <c r="E12" t="s">
        <v>17</v>
      </c>
      <c r="G12" s="4" t="s">
        <v>9</v>
      </c>
      <c r="H12" s="4" t="s">
        <v>12</v>
      </c>
      <c r="I12" s="4" t="s">
        <v>13</v>
      </c>
      <c r="J12" s="4" t="s">
        <v>14</v>
      </c>
      <c r="L12" s="17" t="s">
        <v>15</v>
      </c>
      <c r="M12" s="17"/>
    </row>
    <row r="13" spans="1:13" x14ac:dyDescent="0.3">
      <c r="G13" s="4" t="s">
        <v>10</v>
      </c>
      <c r="H13">
        <f>M13</f>
        <v>90</v>
      </c>
      <c r="I13">
        <v>98</v>
      </c>
      <c r="J13">
        <f>SUM(H13:I13)</f>
        <v>188</v>
      </c>
      <c r="L13" s="5" t="s">
        <v>10</v>
      </c>
      <c r="M13">
        <v>90</v>
      </c>
    </row>
    <row r="14" spans="1:13" x14ac:dyDescent="0.3">
      <c r="G14" s="4" t="s">
        <v>11</v>
      </c>
      <c r="H14">
        <f>M14</f>
        <v>95</v>
      </c>
      <c r="I14">
        <v>85</v>
      </c>
      <c r="J14">
        <f>SUM(H14:I14)</f>
        <v>180</v>
      </c>
      <c r="L14" s="5" t="s">
        <v>11</v>
      </c>
      <c r="M14">
        <v>95</v>
      </c>
    </row>
    <row r="15" spans="1:13" x14ac:dyDescent="0.3">
      <c r="G15" s="4" t="s">
        <v>14</v>
      </c>
      <c r="H15">
        <f>SUM(H13:H14)</f>
        <v>185</v>
      </c>
      <c r="I15">
        <f>SUM(I13:I14)</f>
        <v>183</v>
      </c>
      <c r="J15">
        <f>SUM(J13:J14)</f>
        <v>368</v>
      </c>
    </row>
    <row r="18" spans="1:12" x14ac:dyDescent="0.3">
      <c r="I18" s="4" t="s">
        <v>9</v>
      </c>
      <c r="J18" s="4" t="s">
        <v>24</v>
      </c>
      <c r="K18" s="4" t="s">
        <v>25</v>
      </c>
      <c r="L18" s="4" t="s">
        <v>14</v>
      </c>
    </row>
    <row r="19" spans="1:12" x14ac:dyDescent="0.3">
      <c r="A19" s="1" t="s">
        <v>18</v>
      </c>
      <c r="E19" t="s">
        <v>19</v>
      </c>
      <c r="I19" s="4" t="s">
        <v>10</v>
      </c>
      <c r="J19">
        <v>80</v>
      </c>
      <c r="K19">
        <v>98</v>
      </c>
      <c r="L19">
        <f>SUM(J19:K19)</f>
        <v>178</v>
      </c>
    </row>
    <row r="20" spans="1:12" x14ac:dyDescent="0.3">
      <c r="E20" t="s">
        <v>20</v>
      </c>
      <c r="I20" s="4" t="s">
        <v>11</v>
      </c>
      <c r="J20">
        <v>80</v>
      </c>
      <c r="K20">
        <v>85</v>
      </c>
      <c r="L20">
        <f>SUM(J20:K20)</f>
        <v>165</v>
      </c>
    </row>
    <row r="21" spans="1:12" x14ac:dyDescent="0.3">
      <c r="E21" t="s">
        <v>21</v>
      </c>
      <c r="I21" s="4" t="s">
        <v>14</v>
      </c>
      <c r="J21">
        <f>SUM(J19:J20)</f>
        <v>160</v>
      </c>
      <c r="K21">
        <f>SUM(K19:K20)</f>
        <v>183</v>
      </c>
      <c r="L21">
        <f>SUM(L19:L20)</f>
        <v>343</v>
      </c>
    </row>
    <row r="22" spans="1:12" x14ac:dyDescent="0.3">
      <c r="E22" t="s">
        <v>22</v>
      </c>
    </row>
    <row r="23" spans="1:12" x14ac:dyDescent="0.3">
      <c r="B23" s="5" t="s">
        <v>27</v>
      </c>
      <c r="E23" t="s">
        <v>23</v>
      </c>
    </row>
    <row r="25" spans="1:12" x14ac:dyDescent="0.3">
      <c r="B25" s="5" t="s">
        <v>26</v>
      </c>
      <c r="E25" t="s">
        <v>28</v>
      </c>
    </row>
    <row r="28" spans="1:12" x14ac:dyDescent="0.3">
      <c r="B28" s="5" t="s">
        <v>29</v>
      </c>
      <c r="C28" s="8" t="s">
        <v>38</v>
      </c>
      <c r="E28" t="s">
        <v>30</v>
      </c>
    </row>
    <row r="29" spans="1:12" x14ac:dyDescent="0.3">
      <c r="E29" t="s">
        <v>31</v>
      </c>
    </row>
    <row r="30" spans="1:12" x14ac:dyDescent="0.3">
      <c r="E30" t="s">
        <v>32</v>
      </c>
    </row>
    <row r="31" spans="1:12" x14ac:dyDescent="0.3">
      <c r="E31" t="s">
        <v>33</v>
      </c>
    </row>
    <row r="32" spans="1:12" x14ac:dyDescent="0.3">
      <c r="E32" t="s">
        <v>34</v>
      </c>
    </row>
    <row r="33" spans="1:5" x14ac:dyDescent="0.3">
      <c r="E33" t="s">
        <v>35</v>
      </c>
    </row>
    <row r="35" spans="1:5" x14ac:dyDescent="0.3">
      <c r="E35" s="6" t="s">
        <v>36</v>
      </c>
    </row>
    <row r="36" spans="1:5" x14ac:dyDescent="0.3">
      <c r="E36" s="6" t="s">
        <v>37</v>
      </c>
    </row>
    <row r="37" spans="1:5" x14ac:dyDescent="0.3">
      <c r="E37" s="7"/>
    </row>
    <row r="38" spans="1:5" x14ac:dyDescent="0.3">
      <c r="E38" s="6" t="s">
        <v>112</v>
      </c>
    </row>
    <row r="39" spans="1:5" x14ac:dyDescent="0.3">
      <c r="E39" s="6" t="s">
        <v>113</v>
      </c>
    </row>
    <row r="40" spans="1:5" x14ac:dyDescent="0.3">
      <c r="E40" s="7"/>
    </row>
    <row r="41" spans="1:5" x14ac:dyDescent="0.3">
      <c r="A41" s="1" t="s">
        <v>39</v>
      </c>
    </row>
    <row r="42" spans="1:5" x14ac:dyDescent="0.3">
      <c r="B42" s="5" t="s">
        <v>40</v>
      </c>
      <c r="E42" t="s">
        <v>41</v>
      </c>
    </row>
    <row r="45" spans="1:5" x14ac:dyDescent="0.3">
      <c r="E45" s="9" t="s">
        <v>42</v>
      </c>
    </row>
    <row r="47" spans="1:5" x14ac:dyDescent="0.3">
      <c r="B47" s="12" t="s">
        <v>43</v>
      </c>
      <c r="E47" s="10" t="s">
        <v>44</v>
      </c>
    </row>
    <row r="48" spans="1:5" x14ac:dyDescent="0.3">
      <c r="E48" t="s">
        <v>45</v>
      </c>
    </row>
    <row r="49" spans="2:6" x14ac:dyDescent="0.3">
      <c r="C49" s="11" t="s">
        <v>46</v>
      </c>
      <c r="E49" s="10" t="s">
        <v>47</v>
      </c>
    </row>
    <row r="52" spans="2:6" x14ac:dyDescent="0.3">
      <c r="E52" t="s">
        <v>48</v>
      </c>
    </row>
    <row r="53" spans="2:6" x14ac:dyDescent="0.3">
      <c r="E53" t="s">
        <v>49</v>
      </c>
    </row>
    <row r="54" spans="2:6" x14ac:dyDescent="0.3">
      <c r="E54" t="s">
        <v>51</v>
      </c>
    </row>
    <row r="56" spans="2:6" x14ac:dyDescent="0.3">
      <c r="B56" s="12" t="s">
        <v>135</v>
      </c>
      <c r="C56" s="11" t="s">
        <v>118</v>
      </c>
      <c r="E56" s="10" t="s">
        <v>120</v>
      </c>
    </row>
    <row r="57" spans="2:6" x14ac:dyDescent="0.3">
      <c r="C57" s="11" t="s">
        <v>119</v>
      </c>
      <c r="E57" t="s">
        <v>121</v>
      </c>
    </row>
    <row r="58" spans="2:6" x14ac:dyDescent="0.3">
      <c r="E58" t="s">
        <v>122</v>
      </c>
    </row>
    <row r="59" spans="2:6" x14ac:dyDescent="0.3">
      <c r="F59" t="s">
        <v>128</v>
      </c>
    </row>
    <row r="60" spans="2:6" x14ac:dyDescent="0.3">
      <c r="C60" s="11" t="s">
        <v>123</v>
      </c>
      <c r="E60" s="10" t="s">
        <v>124</v>
      </c>
      <c r="F60" s="16" t="s">
        <v>126</v>
      </c>
    </row>
    <row r="61" spans="2:6" x14ac:dyDescent="0.3">
      <c r="E61" s="10" t="s">
        <v>125</v>
      </c>
      <c r="F61" s="16" t="s">
        <v>127</v>
      </c>
    </row>
    <row r="62" spans="2:6" x14ac:dyDescent="0.3">
      <c r="D62" s="4" t="s">
        <v>133</v>
      </c>
      <c r="E62" s="10" t="s">
        <v>129</v>
      </c>
    </row>
    <row r="63" spans="2:6" x14ac:dyDescent="0.3">
      <c r="D63" s="4" t="s">
        <v>134</v>
      </c>
      <c r="E63" s="10" t="s">
        <v>130</v>
      </c>
    </row>
    <row r="64" spans="2:6" x14ac:dyDescent="0.3">
      <c r="E64" s="10" t="s">
        <v>131</v>
      </c>
    </row>
    <row r="65" spans="3:10" x14ac:dyDescent="0.3">
      <c r="E65" s="10" t="s">
        <v>132</v>
      </c>
    </row>
    <row r="66" spans="3:10" x14ac:dyDescent="0.3">
      <c r="C66" s="11" t="s">
        <v>136</v>
      </c>
      <c r="E66" s="10" t="s">
        <v>139</v>
      </c>
      <c r="G66" s="18" t="s">
        <v>137</v>
      </c>
      <c r="H66" s="18"/>
    </row>
    <row r="67" spans="3:10" x14ac:dyDescent="0.3">
      <c r="C67" s="11" t="s">
        <v>138</v>
      </c>
      <c r="E67" s="10" t="s">
        <v>145</v>
      </c>
    </row>
    <row r="68" spans="3:10" x14ac:dyDescent="0.3">
      <c r="E68" s="10" t="s">
        <v>140</v>
      </c>
    </row>
    <row r="69" spans="3:10" x14ac:dyDescent="0.3">
      <c r="C69" s="11" t="s">
        <v>141</v>
      </c>
      <c r="E69" s="10" t="s">
        <v>142</v>
      </c>
    </row>
    <row r="70" spans="3:10" x14ac:dyDescent="0.3">
      <c r="C70" s="11" t="s">
        <v>143</v>
      </c>
      <c r="E70" s="10" t="s">
        <v>144</v>
      </c>
    </row>
    <row r="71" spans="3:10" x14ac:dyDescent="0.3">
      <c r="C71" s="11" t="s">
        <v>146</v>
      </c>
      <c r="E71" s="10" t="s">
        <v>147</v>
      </c>
    </row>
    <row r="72" spans="3:10" x14ac:dyDescent="0.3">
      <c r="C72" s="11" t="s">
        <v>150</v>
      </c>
      <c r="E72" s="10" t="s">
        <v>148</v>
      </c>
      <c r="F72" s="19" t="s">
        <v>151</v>
      </c>
      <c r="G72" s="19"/>
      <c r="H72" s="19"/>
      <c r="I72" s="19"/>
      <c r="J72" s="19"/>
    </row>
    <row r="73" spans="3:10" x14ac:dyDescent="0.3">
      <c r="E73" s="10" t="s">
        <v>149</v>
      </c>
    </row>
    <row r="74" spans="3:10" x14ac:dyDescent="0.3">
      <c r="C74" s="11" t="s">
        <v>152</v>
      </c>
      <c r="E74" s="10" t="s">
        <v>153</v>
      </c>
    </row>
    <row r="75" spans="3:10" x14ac:dyDescent="0.3">
      <c r="C75" s="11" t="s">
        <v>154</v>
      </c>
      <c r="E75" s="10" t="s">
        <v>155</v>
      </c>
    </row>
    <row r="76" spans="3:10" x14ac:dyDescent="0.3">
      <c r="E76" s="10" t="s">
        <v>156</v>
      </c>
    </row>
    <row r="77" spans="3:10" x14ac:dyDescent="0.3">
      <c r="E77" s="10" t="s">
        <v>157</v>
      </c>
    </row>
    <row r="78" spans="3:10" x14ac:dyDescent="0.3">
      <c r="C78" s="11" t="s">
        <v>158</v>
      </c>
      <c r="E78" s="10" t="s">
        <v>159</v>
      </c>
    </row>
    <row r="79" spans="3:10" x14ac:dyDescent="0.3">
      <c r="E79" s="10" t="s">
        <v>160</v>
      </c>
    </row>
    <row r="80" spans="3:10" x14ac:dyDescent="0.3">
      <c r="C80" s="11" t="s">
        <v>164</v>
      </c>
      <c r="E80" s="10" t="s">
        <v>165</v>
      </c>
    </row>
    <row r="81" spans="2:9" x14ac:dyDescent="0.3">
      <c r="E81" s="10" t="s">
        <v>166</v>
      </c>
    </row>
    <row r="82" spans="2:9" x14ac:dyDescent="0.3">
      <c r="E82" s="10" t="s">
        <v>168</v>
      </c>
      <c r="F82" s="19" t="s">
        <v>167</v>
      </c>
      <c r="G82" s="19"/>
    </row>
    <row r="83" spans="2:9" x14ac:dyDescent="0.3">
      <c r="C83" s="11" t="s">
        <v>161</v>
      </c>
      <c r="E83" s="10" t="s">
        <v>162</v>
      </c>
    </row>
    <row r="84" spans="2:9" x14ac:dyDescent="0.3">
      <c r="E84" s="10" t="s">
        <v>163</v>
      </c>
    </row>
    <row r="85" spans="2:9" x14ac:dyDescent="0.3">
      <c r="C85" s="11" t="s">
        <v>169</v>
      </c>
      <c r="E85" s="10" t="s">
        <v>170</v>
      </c>
    </row>
    <row r="86" spans="2:9" x14ac:dyDescent="0.3">
      <c r="E86" s="10" t="s">
        <v>171</v>
      </c>
    </row>
    <row r="87" spans="2:9" x14ac:dyDescent="0.3">
      <c r="C87" s="11" t="s">
        <v>172</v>
      </c>
      <c r="E87" s="10" t="s">
        <v>173</v>
      </c>
    </row>
    <row r="88" spans="2:9" x14ac:dyDescent="0.3">
      <c r="C88" s="11" t="s">
        <v>174</v>
      </c>
      <c r="E88" s="10" t="s">
        <v>175</v>
      </c>
    </row>
    <row r="89" spans="2:9" x14ac:dyDescent="0.3">
      <c r="C89" s="11" t="s">
        <v>176</v>
      </c>
      <c r="E89" s="10" t="s">
        <v>178</v>
      </c>
    </row>
    <row r="90" spans="2:9" x14ac:dyDescent="0.3">
      <c r="C90" s="11" t="s">
        <v>177</v>
      </c>
      <c r="E90" s="10" t="s">
        <v>179</v>
      </c>
    </row>
    <row r="91" spans="2:9" x14ac:dyDescent="0.3">
      <c r="C91" s="11" t="s">
        <v>180</v>
      </c>
      <c r="E91" s="10" t="s">
        <v>181</v>
      </c>
    </row>
    <row r="93" spans="2:9" x14ac:dyDescent="0.3">
      <c r="B93" t="s">
        <v>192</v>
      </c>
      <c r="C93" s="11" t="s">
        <v>193</v>
      </c>
      <c r="E93" s="10" t="s">
        <v>195</v>
      </c>
      <c r="F93" s="19" t="s">
        <v>196</v>
      </c>
      <c r="G93" s="19"/>
      <c r="H93" s="19"/>
      <c r="I93" s="19"/>
    </row>
    <row r="94" spans="2:9" x14ac:dyDescent="0.3">
      <c r="C94" s="11" t="s">
        <v>194</v>
      </c>
      <c r="E94" s="10" t="s">
        <v>197</v>
      </c>
    </row>
    <row r="95" spans="2:9" x14ac:dyDescent="0.3">
      <c r="E95" s="10" t="s">
        <v>198</v>
      </c>
    </row>
    <row r="96" spans="2:9" x14ac:dyDescent="0.3">
      <c r="E96" s="10" t="s">
        <v>199</v>
      </c>
    </row>
    <row r="97" spans="2:5" x14ac:dyDescent="0.3">
      <c r="E97" s="10"/>
    </row>
    <row r="98" spans="2:5" x14ac:dyDescent="0.3">
      <c r="E98" s="10"/>
    </row>
    <row r="99" spans="2:5" x14ac:dyDescent="0.3">
      <c r="B99" s="12" t="s">
        <v>50</v>
      </c>
    </row>
    <row r="100" spans="2:5" x14ac:dyDescent="0.3">
      <c r="C100" s="11" t="s">
        <v>52</v>
      </c>
    </row>
    <row r="101" spans="2:5" x14ac:dyDescent="0.3">
      <c r="D101" t="s">
        <v>53</v>
      </c>
      <c r="E101" t="s">
        <v>54</v>
      </c>
    </row>
    <row r="102" spans="2:5" x14ac:dyDescent="0.3">
      <c r="D102" t="s">
        <v>55</v>
      </c>
      <c r="E102" t="s">
        <v>56</v>
      </c>
    </row>
    <row r="104" spans="2:5" x14ac:dyDescent="0.3">
      <c r="D104" t="s">
        <v>57</v>
      </c>
      <c r="E104" t="s">
        <v>58</v>
      </c>
    </row>
    <row r="106" spans="2:5" x14ac:dyDescent="0.3">
      <c r="C106" s="11" t="s">
        <v>59</v>
      </c>
      <c r="E106" s="10" t="s">
        <v>60</v>
      </c>
    </row>
    <row r="107" spans="2:5" x14ac:dyDescent="0.3">
      <c r="E107" t="s">
        <v>61</v>
      </c>
    </row>
    <row r="109" spans="2:5" x14ac:dyDescent="0.3">
      <c r="C109" s="11" t="s">
        <v>114</v>
      </c>
      <c r="E109" s="10" t="s">
        <v>115</v>
      </c>
    </row>
    <row r="111" spans="2:5" x14ac:dyDescent="0.3">
      <c r="C111" s="11" t="s">
        <v>62</v>
      </c>
      <c r="E111" s="10" t="s">
        <v>63</v>
      </c>
    </row>
    <row r="112" spans="2:5" x14ac:dyDescent="0.3">
      <c r="E112" s="10" t="s">
        <v>64</v>
      </c>
    </row>
    <row r="113" spans="2:9" x14ac:dyDescent="0.3">
      <c r="E113" s="10" t="s">
        <v>182</v>
      </c>
    </row>
    <row r="114" spans="2:9" x14ac:dyDescent="0.3">
      <c r="E114" s="10" t="s">
        <v>183</v>
      </c>
      <c r="F114" s="19" t="s">
        <v>184</v>
      </c>
      <c r="G114" s="19"/>
      <c r="H114" s="19"/>
    </row>
    <row r="115" spans="2:9" x14ac:dyDescent="0.3">
      <c r="E115" s="10"/>
    </row>
    <row r="116" spans="2:9" x14ac:dyDescent="0.3">
      <c r="E116" s="10"/>
    </row>
    <row r="117" spans="2:9" x14ac:dyDescent="0.3">
      <c r="E117" s="10"/>
    </row>
    <row r="118" spans="2:9" x14ac:dyDescent="0.3">
      <c r="E118" t="s">
        <v>68</v>
      </c>
    </row>
    <row r="120" spans="2:9" x14ac:dyDescent="0.3">
      <c r="C120" s="11" t="s">
        <v>65</v>
      </c>
      <c r="E120" s="10" t="s">
        <v>67</v>
      </c>
    </row>
    <row r="121" spans="2:9" x14ac:dyDescent="0.3">
      <c r="E121" s="10" t="s">
        <v>66</v>
      </c>
    </row>
    <row r="125" spans="2:9" x14ac:dyDescent="0.3">
      <c r="B125" s="12" t="s">
        <v>69</v>
      </c>
      <c r="H125" s="4" t="s">
        <v>9</v>
      </c>
      <c r="I125" s="4" t="s">
        <v>76</v>
      </c>
    </row>
    <row r="126" spans="2:9" x14ac:dyDescent="0.3">
      <c r="C126" s="11" t="s">
        <v>70</v>
      </c>
      <c r="E126" s="10" t="s">
        <v>71</v>
      </c>
      <c r="H126" t="s">
        <v>77</v>
      </c>
      <c r="I126">
        <v>17</v>
      </c>
    </row>
    <row r="127" spans="2:9" x14ac:dyDescent="0.3">
      <c r="E127" s="10" t="s">
        <v>72</v>
      </c>
      <c r="H127" t="s">
        <v>78</v>
      </c>
    </row>
    <row r="128" spans="2:9" x14ac:dyDescent="0.3">
      <c r="E128" s="10" t="s">
        <v>74</v>
      </c>
      <c r="H128" t="s">
        <v>79</v>
      </c>
      <c r="I128">
        <v>35</v>
      </c>
    </row>
    <row r="129" spans="3:5" x14ac:dyDescent="0.3">
      <c r="E129" s="10" t="s">
        <v>75</v>
      </c>
    </row>
    <row r="130" spans="3:5" x14ac:dyDescent="0.3">
      <c r="E130" s="10" t="s">
        <v>73</v>
      </c>
    </row>
    <row r="131" spans="3:5" ht="129.6" x14ac:dyDescent="0.3">
      <c r="E131" s="13" t="s">
        <v>80</v>
      </c>
    </row>
    <row r="134" spans="3:5" x14ac:dyDescent="0.3">
      <c r="C134" s="11" t="s">
        <v>81</v>
      </c>
      <c r="E134" s="10" t="s">
        <v>82</v>
      </c>
    </row>
    <row r="135" spans="3:5" x14ac:dyDescent="0.3">
      <c r="E135" s="10" t="s">
        <v>83</v>
      </c>
    </row>
    <row r="136" spans="3:5" x14ac:dyDescent="0.3">
      <c r="E136" s="10" t="s">
        <v>84</v>
      </c>
    </row>
    <row r="137" spans="3:5" x14ac:dyDescent="0.3">
      <c r="E137" s="10" t="s">
        <v>85</v>
      </c>
    </row>
    <row r="138" spans="3:5" x14ac:dyDescent="0.3">
      <c r="E138" s="10" t="s">
        <v>84</v>
      </c>
    </row>
    <row r="139" spans="3:5" x14ac:dyDescent="0.3">
      <c r="E139" s="10" t="s">
        <v>188</v>
      </c>
    </row>
    <row r="140" spans="3:5" x14ac:dyDescent="0.3">
      <c r="E140" s="10" t="s">
        <v>189</v>
      </c>
    </row>
    <row r="141" spans="3:5" x14ac:dyDescent="0.3">
      <c r="E141" s="10" t="s">
        <v>86</v>
      </c>
    </row>
    <row r="142" spans="3:5" x14ac:dyDescent="0.3">
      <c r="E142" s="10" t="s">
        <v>87</v>
      </c>
    </row>
    <row r="145" spans="3:11" x14ac:dyDescent="0.3">
      <c r="C145" s="11" t="s">
        <v>88</v>
      </c>
      <c r="E145" s="14" t="s">
        <v>89</v>
      </c>
    </row>
    <row r="146" spans="3:11" x14ac:dyDescent="0.3">
      <c r="E146" s="14" t="s">
        <v>97</v>
      </c>
    </row>
    <row r="147" spans="3:11" x14ac:dyDescent="0.3">
      <c r="E147" s="14" t="s">
        <v>98</v>
      </c>
    </row>
    <row r="148" spans="3:11" x14ac:dyDescent="0.3">
      <c r="E148" s="14" t="s">
        <v>91</v>
      </c>
    </row>
    <row r="149" spans="3:11" x14ac:dyDescent="0.3">
      <c r="E149" s="14" t="s">
        <v>92</v>
      </c>
    </row>
    <row r="150" spans="3:11" x14ac:dyDescent="0.3">
      <c r="E150" s="14" t="s">
        <v>191</v>
      </c>
      <c r="F150" s="19" t="s">
        <v>190</v>
      </c>
      <c r="G150" s="19"/>
      <c r="H150" s="19"/>
      <c r="I150" s="19"/>
    </row>
    <row r="151" spans="3:11" x14ac:dyDescent="0.3">
      <c r="E151" s="14" t="s">
        <v>92</v>
      </c>
    </row>
    <row r="152" spans="3:11" x14ac:dyDescent="0.3">
      <c r="E152" s="14" t="s">
        <v>94</v>
      </c>
    </row>
    <row r="153" spans="3:11" x14ac:dyDescent="0.3">
      <c r="E153" s="14" t="s">
        <v>95</v>
      </c>
    </row>
    <row r="154" spans="3:11" x14ac:dyDescent="0.3">
      <c r="E154" s="14"/>
    </row>
    <row r="155" spans="3:11" x14ac:dyDescent="0.3">
      <c r="E155" s="15" t="s">
        <v>96</v>
      </c>
    </row>
    <row r="156" spans="3:11" x14ac:dyDescent="0.3">
      <c r="E156" t="s">
        <v>99</v>
      </c>
    </row>
    <row r="159" spans="3:11" x14ac:dyDescent="0.3">
      <c r="C159" s="11" t="s">
        <v>100</v>
      </c>
      <c r="E159" s="14" t="s">
        <v>89</v>
      </c>
      <c r="G159" t="s">
        <v>102</v>
      </c>
      <c r="I159" s="19" t="s">
        <v>103</v>
      </c>
      <c r="J159" s="19"/>
      <c r="K159" s="19"/>
    </row>
    <row r="160" spans="3:11" x14ac:dyDescent="0.3">
      <c r="E160" s="14" t="s">
        <v>90</v>
      </c>
      <c r="I160" s="19" t="s">
        <v>185</v>
      </c>
      <c r="J160" s="19"/>
      <c r="K160" s="19"/>
    </row>
    <row r="161" spans="5:12" x14ac:dyDescent="0.3">
      <c r="E161" s="14" t="s">
        <v>186</v>
      </c>
    </row>
    <row r="162" spans="5:12" x14ac:dyDescent="0.3">
      <c r="E162" s="14" t="s">
        <v>187</v>
      </c>
    </row>
    <row r="163" spans="5:12" x14ac:dyDescent="0.3">
      <c r="E163" s="14" t="s">
        <v>91</v>
      </c>
    </row>
    <row r="164" spans="5:12" x14ac:dyDescent="0.3">
      <c r="E164" s="14" t="s">
        <v>92</v>
      </c>
    </row>
    <row r="165" spans="5:12" x14ac:dyDescent="0.3">
      <c r="E165" s="14" t="s">
        <v>93</v>
      </c>
    </row>
    <row r="166" spans="5:12" x14ac:dyDescent="0.3">
      <c r="E166" s="14" t="s">
        <v>92</v>
      </c>
    </row>
    <row r="167" spans="5:12" x14ac:dyDescent="0.3">
      <c r="E167" s="14" t="s">
        <v>101</v>
      </c>
    </row>
    <row r="168" spans="5:12" x14ac:dyDescent="0.3">
      <c r="E168" s="14" t="s">
        <v>95</v>
      </c>
      <c r="I168" t="s">
        <v>9</v>
      </c>
      <c r="J168" t="s">
        <v>106</v>
      </c>
      <c r="K168" t="s">
        <v>13</v>
      </c>
      <c r="L168" t="s">
        <v>107</v>
      </c>
    </row>
    <row r="169" spans="5:12" x14ac:dyDescent="0.3">
      <c r="I169" t="s">
        <v>10</v>
      </c>
      <c r="J169">
        <v>90</v>
      </c>
      <c r="K169" s="5">
        <v>85</v>
      </c>
      <c r="L169">
        <v>70</v>
      </c>
    </row>
    <row r="170" spans="5:12" x14ac:dyDescent="0.3">
      <c r="I170" t="s">
        <v>11</v>
      </c>
      <c r="J170">
        <v>85</v>
      </c>
      <c r="K170" s="5">
        <v>85</v>
      </c>
      <c r="L170">
        <v>90</v>
      </c>
    </row>
    <row r="171" spans="5:12" x14ac:dyDescent="0.3">
      <c r="K171" s="20"/>
    </row>
    <row r="172" spans="5:12" x14ac:dyDescent="0.3">
      <c r="K172" s="20"/>
    </row>
    <row r="173" spans="5:12" x14ac:dyDescent="0.3">
      <c r="K173" s="20"/>
    </row>
    <row r="174" spans="5:12" x14ac:dyDescent="0.3">
      <c r="K174" s="20"/>
    </row>
    <row r="175" spans="5:12" x14ac:dyDescent="0.3">
      <c r="K175" s="20"/>
    </row>
    <row r="176" spans="5:12" x14ac:dyDescent="0.3">
      <c r="K176" s="20"/>
    </row>
    <row r="177" spans="1:11" x14ac:dyDescent="0.3">
      <c r="K177" s="20"/>
    </row>
    <row r="179" spans="1:11" x14ac:dyDescent="0.3">
      <c r="A179" t="s">
        <v>104</v>
      </c>
      <c r="C179" s="11" t="s">
        <v>117</v>
      </c>
      <c r="E179" t="s">
        <v>105</v>
      </c>
    </row>
    <row r="180" spans="1:11" x14ac:dyDescent="0.3">
      <c r="C180" s="11" t="s">
        <v>116</v>
      </c>
      <c r="I180" t="s">
        <v>108</v>
      </c>
      <c r="J180" t="s">
        <v>13</v>
      </c>
    </row>
    <row r="181" spans="1:11" x14ac:dyDescent="0.3">
      <c r="E181" t="s">
        <v>109</v>
      </c>
      <c r="I181" t="s">
        <v>14</v>
      </c>
      <c r="J181">
        <f ca="1">SUM(INDIRECT(J180))</f>
        <v>170</v>
      </c>
    </row>
    <row r="183" spans="1:11" x14ac:dyDescent="0.3">
      <c r="E183" t="s">
        <v>110</v>
      </c>
    </row>
    <row r="184" spans="1:11" x14ac:dyDescent="0.3">
      <c r="E184" t="s">
        <v>111</v>
      </c>
    </row>
  </sheetData>
  <scenarios current="0" show="0">
    <scenario name="Default" locked="1" count="2" user="Vinoth" comment="Created by Vinoth on 25-07-2023">
      <inputCells r="M13" val="90"/>
      <inputCells r="M14" val="95"/>
    </scenario>
    <scenario name="Worst" locked="1" count="2" user="Vinoth" comment="Created by Vinoth on 25-07-2023">
      <inputCells r="M13" val="35"/>
      <inputCells r="M14" val="35"/>
    </scenario>
    <scenario name="Best" locked="1" count="2" user="Vinoth" comment="Created by Vinoth on 25-07-2023">
      <inputCells r="M13" val="100"/>
      <inputCells r="M14" val="100"/>
    </scenario>
  </scenarios>
  <autoFilter ref="I18:L21" xr:uid="{D113799F-DA5D-470A-BCB4-4C2CF4D8B7E6}"/>
  <mergeCells count="9">
    <mergeCell ref="I159:K159"/>
    <mergeCell ref="I160:K160"/>
    <mergeCell ref="F150:I150"/>
    <mergeCell ref="F93:I93"/>
    <mergeCell ref="L12:M12"/>
    <mergeCell ref="G66:H66"/>
    <mergeCell ref="F72:J72"/>
    <mergeCell ref="F82:G82"/>
    <mergeCell ref="F114:H114"/>
  </mergeCells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390605F-F5DF-44A9-A5E3-8D1A1794415A}">
  <sheetPr codeName="Sheet2"/>
  <dimension ref="I18:L21"/>
  <sheetViews>
    <sheetView workbookViewId="0">
      <selection activeCell="I19" sqref="I19"/>
    </sheetView>
  </sheetViews>
  <sheetFormatPr defaultRowHeight="14.4" x14ac:dyDescent="0.3"/>
  <cols>
    <col min="10" max="10" width="14.21875" customWidth="1"/>
    <col min="11" max="11" width="10.44140625" customWidth="1"/>
  </cols>
  <sheetData>
    <row r="18" spans="9:12" x14ac:dyDescent="0.3">
      <c r="I18" s="4" t="s">
        <v>9</v>
      </c>
      <c r="J18" s="4" t="s">
        <v>24</v>
      </c>
      <c r="K18" s="4" t="s">
        <v>25</v>
      </c>
      <c r="L18" s="4" t="s">
        <v>14</v>
      </c>
    </row>
    <row r="19" spans="9:12" x14ac:dyDescent="0.3">
      <c r="I19" s="4" t="s">
        <v>10</v>
      </c>
      <c r="J19">
        <v>90</v>
      </c>
      <c r="K19">
        <v>98</v>
      </c>
      <c r="L19">
        <f>SUM(J19:K19)</f>
        <v>188</v>
      </c>
    </row>
    <row r="20" spans="9:12" x14ac:dyDescent="0.3">
      <c r="I20" s="4" t="s">
        <v>11</v>
      </c>
      <c r="J20">
        <v>90</v>
      </c>
      <c r="K20">
        <v>85</v>
      </c>
      <c r="L20">
        <f>SUM(J20:K20)</f>
        <v>175</v>
      </c>
    </row>
    <row r="21" spans="9:12" x14ac:dyDescent="0.3">
      <c r="I21" s="4" t="s">
        <v>14</v>
      </c>
      <c r="J21">
        <f>SUM(J19:J20)</f>
        <v>180</v>
      </c>
      <c r="K21">
        <f>SUM(K19:K20)</f>
        <v>183</v>
      </c>
      <c r="L21">
        <f>SUM(L19:L20)</f>
        <v>363</v>
      </c>
    </row>
  </sheetData>
  <autoFilter ref="I18:L21" xr:uid="{4390605F-F5DF-44A9-A5E3-8D1A1794415A}"/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SampleMacro">
                <anchor moveWithCells="1" sizeWithCells="1">
                  <from>
                    <xdr:col>13</xdr:col>
                    <xdr:colOff>15240</xdr:colOff>
                    <xdr:row>8</xdr:row>
                    <xdr:rowOff>53340</xdr:rowOff>
                  </from>
                  <to>
                    <xdr:col>14</xdr:col>
                    <xdr:colOff>579120</xdr:colOff>
                    <xdr:row>10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6</vt:i4>
      </vt:variant>
    </vt:vector>
  </HeadingPairs>
  <TitlesOfParts>
    <vt:vector size="8" baseType="lpstr">
      <vt:lpstr>Content</vt:lpstr>
      <vt:lpstr>Macro test</vt:lpstr>
      <vt:lpstr>gok</vt:lpstr>
      <vt:lpstr>language</vt:lpstr>
      <vt:lpstr>maths</vt:lpstr>
      <vt:lpstr>Name</vt:lpstr>
      <vt:lpstr>science</vt:lpstr>
      <vt:lpstr>vk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Vinoth</dc:creator>
  <cp:lastModifiedBy>Vinoth</cp:lastModifiedBy>
  <dcterms:created xsi:type="dcterms:W3CDTF">2023-07-25T14:23:08Z</dcterms:created>
  <dcterms:modified xsi:type="dcterms:W3CDTF">2023-07-29T13:23:48Z</dcterms:modified>
</cp:coreProperties>
</file>